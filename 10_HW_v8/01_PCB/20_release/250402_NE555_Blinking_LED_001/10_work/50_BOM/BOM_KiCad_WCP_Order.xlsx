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Tabelle1" sheetId="1" r:id="rId1"/>
  </sheets>
  <definedNames>
    <definedName name="_01_Working_Tutorial1" localSheetId="0">Tabelle1!$A$1:$N$9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01_Working_Tutorial1" type="6" background="1" refreshedVersion="2" saveData="1">
    <textPr sourceFile="D:\Benutzer\Stephan\Dokumente\102_Projekte\13_KiCad_Tutorial\XX_TemplateVorlesung\04_PCB_Project\000_NE555_Bw\40_Implementation\01_Hardware\02_PCB\01_Working_Tutorial1\01_Working_Tutorial1.csv" decimal="," thousands=".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<sst xmlns="http://schemas.openxmlformats.org/spreadsheetml/2006/main" count="97" uniqueCount="77">
  <si>
    <t>Date:</t>
  </si>
  <si>
    <t>Vendors</t>
  </si>
  <si>
    <t>www.conrad.e</t>
  </si>
  <si>
    <t>Revision:</t>
  </si>
  <si>
    <t>www.reichelt.de</t>
  </si>
  <si>
    <t>Component Count:</t>
  </si>
  <si>
    <t>www.rs-components.de</t>
  </si>
  <si>
    <t>Single Board</t>
  </si>
  <si>
    <t xml:space="preserve">Order </t>
  </si>
  <si>
    <t>Ref</t>
  </si>
  <si>
    <t>Value</t>
  </si>
  <si>
    <t>Qnty</t>
  </si>
  <si>
    <t>Vendor</t>
  </si>
  <si>
    <t>OrderLink</t>
  </si>
  <si>
    <t>Order No.</t>
  </si>
  <si>
    <t xml:space="preserve">Component Name </t>
  </si>
  <si>
    <t>Order Quantitiy</t>
  </si>
  <si>
    <t>single price</t>
  </si>
  <si>
    <t>Total price</t>
  </si>
  <si>
    <t>Cmp name</t>
  </si>
  <si>
    <t>Footprint</t>
  </si>
  <si>
    <t>Description</t>
  </si>
  <si>
    <t>C1</t>
  </si>
  <si>
    <t>100n</t>
  </si>
  <si>
    <t>Conrad</t>
  </si>
  <si>
    <t>https://www.conrad.de/de/search.html?search=1235240%20-%2062</t>
  </si>
  <si>
    <t>C</t>
  </si>
  <si>
    <t>Capacitor_THT:C_Rect_L7.2mm_W3.0mm_P5.00mm_FKS2_FKP2_MKS2_MKP2</t>
  </si>
  <si>
    <t>Unpolarized capacitor</t>
  </si>
  <si>
    <t>C2</t>
  </si>
  <si>
    <t>C_Polarized</t>
  </si>
  <si>
    <t>Capacitor_THT:CP_Radial_D10.0mm_P2.50mm</t>
  </si>
  <si>
    <t>Polarized capacitor</t>
  </si>
  <si>
    <t>D1</t>
  </si>
  <si>
    <t>LED green</t>
  </si>
  <si>
    <t>D</t>
  </si>
  <si>
    <t>LED_SMD:LED_1206_3216Metric_Pad1.42x1.75mm_HandSolder</t>
  </si>
  <si>
    <t>LED</t>
  </si>
  <si>
    <t>D2</t>
  </si>
  <si>
    <t>LED red</t>
  </si>
  <si>
    <t>LED_THT:LED_D5.0mm</t>
  </si>
  <si>
    <t>D3</t>
  </si>
  <si>
    <t>1N4148</t>
  </si>
  <si>
    <t>Diode_THT:D_DO-35_SOD27_P7.62mm_Horizontal</t>
  </si>
  <si>
    <t>Diode</t>
  </si>
  <si>
    <t>J1</t>
  </si>
  <si>
    <t>Conn_01x02_Pin</t>
  </si>
  <si>
    <t>J</t>
  </si>
  <si>
    <t>Connector_PinHeader_2.54mm:PinHeader_1x02_P2.54mm_Vertical</t>
  </si>
  <si>
    <t>Connector PinHeader</t>
  </si>
  <si>
    <t>R1</t>
  </si>
  <si>
    <t>R</t>
  </si>
  <si>
    <t>on Stock</t>
  </si>
  <si>
    <t>https://www.reichelt.de/praezisionstimer-ic-typ-555-4-5--16-v-dip-8-ne-555-dip-p13396.html?&amp;trstct=pos_0&amp;nbc=1</t>
  </si>
  <si>
    <t>Resistor_SMD:R_1206_3216Metric_Pad1.30x1.75mm_HandSolder</t>
  </si>
  <si>
    <t>Resistor</t>
  </si>
  <si>
    <t>R2,R3</t>
  </si>
  <si>
    <t>15k</t>
  </si>
  <si>
    <t>Resistor_THT:R_Axial_DIN0207_L6.3mm_D2.5mm_P10.16mm_Horizontal</t>
  </si>
  <si>
    <t>R4</t>
  </si>
  <si>
    <t>TP1</t>
  </si>
  <si>
    <t>out</t>
  </si>
  <si>
    <t>TP</t>
  </si>
  <si>
    <t>Connector_PinHeader_2.54mm:PinHeader_1x01_P2.54mm_Vertical</t>
  </si>
  <si>
    <t>TP2</t>
  </si>
  <si>
    <t>TR</t>
  </si>
  <si>
    <t>U1</t>
  </si>
  <si>
    <t>NE555P</t>
  </si>
  <si>
    <t>Reichelt</t>
  </si>
  <si>
    <t>NE 555 DIP</t>
  </si>
  <si>
    <t>NE 555 DIP Timer-IC, Typ 555, DIP-8</t>
  </si>
  <si>
    <t>NE555</t>
  </si>
  <si>
    <t>Precision Timers, DIP-8/SOIC-8</t>
  </si>
  <si>
    <t>Distancae Bolt</t>
  </si>
  <si>
    <t>https://www.conrad.de/de/p/6135-30-abstandsbolzen-l-30-mm-m3-messing-1-st-526550.html</t>
  </si>
  <si>
    <t>Nut</t>
  </si>
  <si>
    <t>https://www.conrad.de/de/p/toolcraft-888718-sechskantmuttern-m3-din-934-stahl-verzinkt-1-st-888718.html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</si>
</sst>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0.0_ "/>
    <numFmt numFmtId="182" formatCode="#,##0.00\ &quot;€&quot;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0" fillId="0" borderId="1" xfId="0" applyBorder="1"/>
    <xf numFmtId="49" fontId="0" fillId="0" borderId="0" xfId="0" applyNumberFormat="1"/>
    <xf numFmtId="180" fontId="0" fillId="0" borderId="0" xfId="0" applyNumberFormat="1"/>
    <xf numFmtId="0" fontId="2" fillId="0" borderId="0" xfId="6"/>
    <xf numFmtId="18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2" borderId="0" xfId="0" applyNumberFormat="1" applyFill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center"/>
    </xf>
    <xf numFmtId="49" fontId="1" fillId="0" borderId="0" xfId="0" applyNumberFormat="1" applyFont="1"/>
    <xf numFmtId="49" fontId="3" fillId="0" borderId="0" xfId="0" applyNumberFormat="1" applyFont="1"/>
    <xf numFmtId="2" fontId="3" fillId="0" borderId="0" xfId="0" applyNumberFormat="1" applyFont="1" applyAlignment="1">
      <alignment horizontal="center"/>
    </xf>
    <xf numFmtId="49" fontId="2" fillId="0" borderId="0" xfId="6" applyNumberFormat="1"/>
    <xf numFmtId="0" fontId="3" fillId="0" borderId="0" xfId="0" applyFont="1" applyAlignment="1">
      <alignment horizontal="left"/>
    </xf>
    <xf numFmtId="0" fontId="3" fillId="0" borderId="0" xfId="0" applyNumberFormat="1" applyFont="1" applyAlignment="1">
      <alignment horizontal="center"/>
    </xf>
    <xf numFmtId="0" fontId="0" fillId="0" borderId="0" xfId="0" applyBorder="1"/>
    <xf numFmtId="49" fontId="3" fillId="0" borderId="0" xfId="0" applyNumberFormat="1" applyFont="1" applyAlignment="1">
      <alignment horizontal="left"/>
    </xf>
    <xf numFmtId="182" fontId="3" fillId="0" borderId="1" xfId="0" applyNumberFormat="1" applyFont="1" applyBorder="1"/>
    <xf numFmtId="2" fontId="3" fillId="0" borderId="0" xfId="0" applyNumberFormat="1" applyFont="1" applyBorder="1" applyAlignment="1">
      <alignment horizontal="center"/>
    </xf>
    <xf numFmtId="49" fontId="2" fillId="0" borderId="1" xfId="6" applyNumberFormat="1" applyBorder="1"/>
    <xf numFmtId="182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0" fillId="0" borderId="0" xfId="0" applyBorder="1"/>
    <xf numFmtId="182" fontId="3" fillId="0" borderId="0" xfId="0" applyNumberFormat="1" applyFont="1"/>
    <xf numFmtId="2" fontId="3" fillId="0" borderId="0" xfId="0" applyNumberFormat="1" applyFont="1"/>
    <xf numFmtId="49" fontId="3" fillId="0" borderId="0" xfId="0" applyNumberFormat="1" applyFont="1" applyFill="1" applyAlignment="1"/>
    <xf numFmtId="182" fontId="0" fillId="0" borderId="0" xfId="0" applyNumberFormat="1"/>
    <xf numFmtId="0" fontId="0" fillId="0" borderId="0" xfId="0" applyNumberFormat="1"/>
    <xf numFmtId="2" fontId="0" fillId="0" borderId="1" xfId="0" applyNumberFormat="1" applyBorder="1"/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01_Working_Tutorial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Blaugrü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1.xml"/><Relationship Id="rId7" Type="http://schemas.openxmlformats.org/officeDocument/2006/relationships/hyperlink" Target="https://www.conrad.de/de/p/toolcraft-888718-sechskantmuttern-m3-din-934-stahl-verzinkt-1-st-888718.html" TargetMode="External"/><Relationship Id="rId6" Type="http://schemas.openxmlformats.org/officeDocument/2006/relationships/hyperlink" Target="https://www.conrad.de/de/p/6135-30-abstandsbolzen-l-30-mm-m3-messing-1-st-526550.html" TargetMode="External"/><Relationship Id="rId5" Type="http://schemas.openxmlformats.org/officeDocument/2006/relationships/hyperlink" Target="https://www.reichelt.de/praezisionstimer-ic-typ-555-4-5--16-v-dip-8-ne-555-dip-p13396.html?&amp;trstct=pos_0&amp;nbc=1" TargetMode="External"/><Relationship Id="rId4" Type="http://schemas.openxmlformats.org/officeDocument/2006/relationships/hyperlink" Target="https://www.conrad.de/de/search.html?search=1235240%20-%2062" TargetMode="External"/><Relationship Id="rId3" Type="http://schemas.openxmlformats.org/officeDocument/2006/relationships/hyperlink" Target="http://www.rs-components.de" TargetMode="External"/><Relationship Id="rId2" Type="http://schemas.openxmlformats.org/officeDocument/2006/relationships/hyperlink" Target="http://www.reichelt.de/" TargetMode="External"/><Relationship Id="rId1" Type="http://schemas.openxmlformats.org/officeDocument/2006/relationships/hyperlink" Target="http://www.conrad.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workbookViewId="0">
      <selection activeCell="C20" sqref="C20"/>
    </sheetView>
  </sheetViews>
  <sheetFormatPr defaultColWidth="11" defaultRowHeight="14.5"/>
  <cols>
    <col min="1" max="1" width="16.6909090909091" customWidth="1"/>
    <col min="2" max="2" width="17.4636363636364" customWidth="1"/>
    <col min="3" max="3" width="14.9181818181818" customWidth="1"/>
    <col min="4" max="4" width="16.1545454545455" customWidth="1"/>
    <col min="5" max="5" width="97.9181818181818" customWidth="1"/>
    <col min="6" max="6" width="16.1545454545455" customWidth="1"/>
    <col min="7" max="7" width="85.8454545454545" customWidth="1"/>
    <col min="8" max="8" width="13.9181818181818" customWidth="1"/>
    <col min="9" max="11" width="16.1545454545455" customWidth="1"/>
    <col min="12" max="12" width="66.1545454545455" customWidth="1"/>
    <col min="13" max="13" width="80.6090909090909" customWidth="1"/>
    <col min="14" max="14" width="6.91818181818182" customWidth="1"/>
  </cols>
  <sheetData>
    <row r="1" spans="1:5">
      <c r="A1" s="3" t="s">
        <v>0</v>
      </c>
      <c r="B1" s="4">
        <v>45749.3998958333</v>
      </c>
      <c r="D1" t="s">
        <v>1</v>
      </c>
      <c r="E1" s="5" t="s">
        <v>2</v>
      </c>
    </row>
    <row r="2" spans="1:5">
      <c r="A2" s="3" t="s">
        <v>3</v>
      </c>
      <c r="B2" s="6">
        <v>2</v>
      </c>
      <c r="C2" s="4"/>
      <c r="E2" s="5" t="s">
        <v>4</v>
      </c>
    </row>
    <row r="3" spans="1:5">
      <c r="A3" s="3" t="s">
        <v>5</v>
      </c>
      <c r="B3" s="7">
        <v>21</v>
      </c>
      <c r="E3" s="5" t="s">
        <v>6</v>
      </c>
    </row>
    <row r="4" spans="1:2">
      <c r="A4" s="3"/>
      <c r="B4" s="8"/>
    </row>
    <row r="5" spans="1:10">
      <c r="A5" s="9"/>
      <c r="B5" s="10" t="s">
        <v>7</v>
      </c>
      <c r="C5" s="11"/>
      <c r="D5" s="12"/>
      <c r="E5" s="12"/>
      <c r="F5" s="12"/>
      <c r="G5" s="13" t="s">
        <v>8</v>
      </c>
      <c r="H5" s="12"/>
      <c r="I5" s="12"/>
      <c r="J5" s="12"/>
    </row>
    <row r="6" s="1" customFormat="1" spans="1:14">
      <c r="A6" s="14" t="s">
        <v>9</v>
      </c>
      <c r="B6" s="14" t="s">
        <v>10</v>
      </c>
      <c r="C6" s="1" t="s">
        <v>11</v>
      </c>
      <c r="D6" s="14" t="s">
        <v>12</v>
      </c>
      <c r="E6" s="14" t="s">
        <v>13</v>
      </c>
      <c r="F6" s="14" t="s">
        <v>14</v>
      </c>
      <c r="G6" s="14" t="s">
        <v>15</v>
      </c>
      <c r="H6" s="14" t="s">
        <v>16</v>
      </c>
      <c r="I6" s="14" t="s">
        <v>17</v>
      </c>
      <c r="J6" s="14" t="s">
        <v>18</v>
      </c>
      <c r="K6" s="14" t="s">
        <v>19</v>
      </c>
      <c r="L6" s="14" t="s">
        <v>20</v>
      </c>
      <c r="M6" s="14" t="s">
        <v>21</v>
      </c>
      <c r="N6" s="14"/>
    </row>
    <row r="7" spans="1:13">
      <c r="A7" s="15" t="s">
        <v>22</v>
      </c>
      <c r="B7" s="15" t="s">
        <v>23</v>
      </c>
      <c r="C7" s="16">
        <v>1</v>
      </c>
      <c r="D7" s="15" t="s">
        <v>24</v>
      </c>
      <c r="E7" s="17" t="s">
        <v>25</v>
      </c>
      <c r="F7" s="18"/>
      <c r="G7" s="15"/>
      <c r="H7" s="19" t="e">
        <f>#REF!*#REF!</f>
        <v>#REF!</v>
      </c>
      <c r="I7" s="28">
        <v>0.08</v>
      </c>
      <c r="J7" s="29" t="e">
        <f>H7*I7</f>
        <v>#REF!</v>
      </c>
      <c r="K7" s="15" t="s">
        <v>26</v>
      </c>
      <c r="L7" s="15" t="s">
        <v>27</v>
      </c>
      <c r="M7" s="15" t="s">
        <v>28</v>
      </c>
    </row>
    <row r="8" spans="1:13">
      <c r="A8" s="15" t="s">
        <v>29</v>
      </c>
      <c r="B8" s="15" t="s">
        <v>30</v>
      </c>
      <c r="C8" s="16">
        <v>1</v>
      </c>
      <c r="D8" s="15" t="s">
        <v>24</v>
      </c>
      <c r="E8" s="17" t="s">
        <v>25</v>
      </c>
      <c r="F8" s="18"/>
      <c r="H8" s="19" t="e">
        <f>#REF!*#REF!</f>
        <v>#REF!</v>
      </c>
      <c r="I8" s="28"/>
      <c r="J8" s="29" t="e">
        <f>H8*I8</f>
        <v>#REF!</v>
      </c>
      <c r="K8" s="15" t="s">
        <v>26</v>
      </c>
      <c r="L8" s="15" t="s">
        <v>31</v>
      </c>
      <c r="M8" s="30" t="s">
        <v>32</v>
      </c>
    </row>
    <row r="9" spans="1:13">
      <c r="A9" s="15" t="s">
        <v>33</v>
      </c>
      <c r="B9" s="15" t="s">
        <v>34</v>
      </c>
      <c r="C9" s="16">
        <v>1</v>
      </c>
      <c r="H9" s="19" t="e">
        <f>#REF!*#REF!</f>
        <v>#REF!</v>
      </c>
      <c r="I9" s="28">
        <v>0.17</v>
      </c>
      <c r="J9" s="29" t="e">
        <f>H9*I9</f>
        <v>#REF!</v>
      </c>
      <c r="K9" s="15" t="s">
        <v>35</v>
      </c>
      <c r="L9" s="15" t="s">
        <v>36</v>
      </c>
      <c r="M9" s="30" t="s">
        <v>37</v>
      </c>
    </row>
    <row r="10" spans="1:13">
      <c r="A10" s="15" t="s">
        <v>38</v>
      </c>
      <c r="B10" s="15" t="s">
        <v>39</v>
      </c>
      <c r="C10" s="16">
        <v>1</v>
      </c>
      <c r="H10" s="19"/>
      <c r="I10" s="28"/>
      <c r="J10" s="29"/>
      <c r="K10" s="15" t="s">
        <v>35</v>
      </c>
      <c r="L10" s="15" t="s">
        <v>40</v>
      </c>
      <c r="M10" s="30" t="s">
        <v>37</v>
      </c>
    </row>
    <row r="11" spans="1:13">
      <c r="A11" s="15" t="s">
        <v>41</v>
      </c>
      <c r="B11" s="15" t="s">
        <v>42</v>
      </c>
      <c r="C11" s="16">
        <v>1</v>
      </c>
      <c r="H11" s="19"/>
      <c r="I11" s="28"/>
      <c r="J11" s="29"/>
      <c r="K11" s="15" t="s">
        <v>35</v>
      </c>
      <c r="L11" s="15" t="s">
        <v>43</v>
      </c>
      <c r="M11" s="30" t="s">
        <v>44</v>
      </c>
    </row>
    <row r="12" spans="1:16">
      <c r="A12" s="15" t="s">
        <v>45</v>
      </c>
      <c r="B12" s="15" t="s">
        <v>46</v>
      </c>
      <c r="C12" s="16">
        <v>1</v>
      </c>
      <c r="H12" s="19"/>
      <c r="I12" s="28"/>
      <c r="J12" s="29"/>
      <c r="K12" s="15" t="s">
        <v>47</v>
      </c>
      <c r="L12" s="15" t="s">
        <v>48</v>
      </c>
      <c r="M12" s="30" t="s">
        <v>49</v>
      </c>
      <c r="N12" s="20"/>
      <c r="O12" s="20"/>
      <c r="P12" s="20"/>
    </row>
    <row r="13" s="2" customFormat="1" ht="15.25" spans="1:17">
      <c r="A13" s="15" t="s">
        <v>50</v>
      </c>
      <c r="B13" s="15" t="s">
        <v>51</v>
      </c>
      <c r="C13" s="16">
        <v>1</v>
      </c>
      <c r="D13" s="15" t="s">
        <v>52</v>
      </c>
      <c r="E13" s="17" t="s">
        <v>53</v>
      </c>
      <c r="F13"/>
      <c r="G13"/>
      <c r="H13" s="20"/>
      <c r="I13" s="20"/>
      <c r="J13" s="20"/>
      <c r="K13" s="15" t="s">
        <v>51</v>
      </c>
      <c r="L13" s="15" t="s">
        <v>54</v>
      </c>
      <c r="M13" s="30" t="s">
        <v>55</v>
      </c>
      <c r="N13" s="20"/>
      <c r="O13" s="20"/>
      <c r="P13" s="20"/>
      <c r="Q13" s="20"/>
    </row>
    <row r="14" spans="1:16">
      <c r="A14" s="15" t="s">
        <v>56</v>
      </c>
      <c r="B14" s="15" t="s">
        <v>57</v>
      </c>
      <c r="C14" s="16">
        <v>2</v>
      </c>
      <c r="D14" s="15" t="s">
        <v>52</v>
      </c>
      <c r="E14" s="17" t="s">
        <v>53</v>
      </c>
      <c r="K14" s="15" t="s">
        <v>51</v>
      </c>
      <c r="L14" s="15" t="s">
        <v>58</v>
      </c>
      <c r="M14" s="30" t="s">
        <v>55</v>
      </c>
      <c r="N14" s="20"/>
      <c r="O14" s="20"/>
      <c r="P14" s="20"/>
    </row>
    <row r="15" spans="1:13">
      <c r="A15" s="15" t="s">
        <v>59</v>
      </c>
      <c r="B15" s="15">
        <v>330</v>
      </c>
      <c r="C15" s="16">
        <v>1</v>
      </c>
      <c r="D15" s="15" t="s">
        <v>52</v>
      </c>
      <c r="E15" s="17" t="s">
        <v>53</v>
      </c>
      <c r="I15" s="31"/>
      <c r="J15" s="32"/>
      <c r="K15" s="15" t="s">
        <v>51</v>
      </c>
      <c r="L15" s="15" t="s">
        <v>58</v>
      </c>
      <c r="M15" s="30" t="s">
        <v>55</v>
      </c>
    </row>
    <row r="16" spans="1:13">
      <c r="A16" s="15" t="s">
        <v>60</v>
      </c>
      <c r="B16" s="15" t="s">
        <v>61</v>
      </c>
      <c r="C16" s="16">
        <v>1</v>
      </c>
      <c r="I16" s="31"/>
      <c r="J16" s="32"/>
      <c r="K16" s="15" t="s">
        <v>62</v>
      </c>
      <c r="L16" s="15" t="s">
        <v>63</v>
      </c>
      <c r="M16" s="30" t="s">
        <v>49</v>
      </c>
    </row>
    <row r="17" spans="1:13">
      <c r="A17" s="15" t="s">
        <v>64</v>
      </c>
      <c r="B17" s="15" t="s">
        <v>65</v>
      </c>
      <c r="C17" s="16">
        <v>1</v>
      </c>
      <c r="I17" s="31"/>
      <c r="J17" s="32"/>
      <c r="K17" s="15" t="s">
        <v>62</v>
      </c>
      <c r="L17" s="15" t="s">
        <v>63</v>
      </c>
      <c r="M17" s="30" t="s">
        <v>49</v>
      </c>
    </row>
    <row r="18" spans="1:13">
      <c r="A18" s="15" t="s">
        <v>66</v>
      </c>
      <c r="B18" s="15" t="s">
        <v>67</v>
      </c>
      <c r="C18" s="16">
        <v>1</v>
      </c>
      <c r="D18" s="15" t="s">
        <v>68</v>
      </c>
      <c r="E18" s="15"/>
      <c r="F18" s="21" t="s">
        <v>69</v>
      </c>
      <c r="G18" s="15" t="s">
        <v>70</v>
      </c>
      <c r="I18" s="31"/>
      <c r="J18" s="32"/>
      <c r="K18" s="15" t="s">
        <v>71</v>
      </c>
      <c r="M18" s="15" t="s">
        <v>72</v>
      </c>
    </row>
    <row r="19" spans="1:10">
      <c r="A19" s="15" t="s">
        <v>73</v>
      </c>
      <c r="C19" s="16">
        <v>4</v>
      </c>
      <c r="E19" s="17" t="s">
        <v>74</v>
      </c>
      <c r="I19" s="31"/>
      <c r="J19" s="32"/>
    </row>
    <row r="20" ht="15.25" spans="1:17">
      <c r="A20" s="22" t="s">
        <v>75</v>
      </c>
      <c r="B20" s="22"/>
      <c r="C20" s="23">
        <v>4</v>
      </c>
      <c r="D20" s="22"/>
      <c r="E20" s="24" t="s">
        <v>76</v>
      </c>
      <c r="F20" s="22"/>
      <c r="G20" s="25"/>
      <c r="H20" s="26" t="e">
        <f>#REF!*#REF!</f>
        <v>#REF!</v>
      </c>
      <c r="I20" s="25"/>
      <c r="J20" s="33" t="e">
        <f>H20*I20</f>
        <v>#REF!</v>
      </c>
      <c r="K20" s="2"/>
      <c r="L20" s="2"/>
      <c r="M20" s="2"/>
      <c r="N20" s="2"/>
      <c r="O20" s="2"/>
      <c r="P20" s="2"/>
      <c r="Q20" s="2"/>
    </row>
    <row r="21" spans="3:10">
      <c r="C21" s="27"/>
      <c r="I21" s="31"/>
      <c r="J21" s="34" t="e">
        <f>SUM(J7:J20)</f>
        <v>#REF!</v>
      </c>
    </row>
    <row r="23" spans="5:5">
      <c r="E23" s="17"/>
    </row>
  </sheetData>
  <hyperlinks>
    <hyperlink ref="E1" r:id="rId1" display="www.conrad.e"/>
    <hyperlink ref="E2" r:id="rId2" display="www.reichelt.de"/>
    <hyperlink ref="E3" r:id="rId3" display="www.rs-components.de" tooltip="http://www.rs-components.de"/>
    <hyperlink ref="E7" r:id="rId4" display="https://www.conrad.de/de/search.html?search=1235240%20-%2062"/>
    <hyperlink ref="E13" r:id="rId5" display="https://www.reichelt.de/praezisionstimer-ic-typ-555-4-5--16-v-dip-8-ne-555-dip-p13396.html?&amp;trstct=pos_0&amp;nbc=1"/>
    <hyperlink ref="E19" r:id="rId6" display="https://www.conrad.de/de/p/6135-30-abstandsbolzen-l-30-mm-m3-messing-1-st-526550.html"/>
    <hyperlink ref="E14" r:id="rId5" display="https://www.reichelt.de/praezisionstimer-ic-typ-555-4-5--16-v-dip-8-ne-555-dip-p13396.html?&amp;trstct=pos_0&amp;nbc=1"/>
    <hyperlink ref="E15" r:id="rId5" display="https://www.reichelt.de/praezisionstimer-ic-typ-555-4-5--16-v-dip-8-ne-555-dip-p13396.html?&amp;trstct=pos_0&amp;nbc=1"/>
    <hyperlink ref="E8" r:id="rId4" display="https://www.conrad.de/de/search.html?search=1235240%20-%2062"/>
    <hyperlink ref="E20" r:id="rId7" display="https://www.conrad.de/de/p/toolcraft-888718-sechskantmuttern-m3-din-934-stahl-verzinkt-1-st-888718.html" tooltip="https://www.conrad.de/de/p/toolcraft-888718-sechskantmuttern-m3-din-934-stahl-verzinkt-1-st-888718.html"/>
  </hyperlinks>
  <pageMargins left="0.7" right="0.7" top="0.787401575" bottom="0.7874015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Bannwarth</dc:creator>
  <cp:lastModifiedBy>agilan</cp:lastModifiedBy>
  <dcterms:created xsi:type="dcterms:W3CDTF">2020-03-05T11:20:00Z</dcterms:created>
  <dcterms:modified xsi:type="dcterms:W3CDTF">2025-04-02T19:39:05Z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31A4AAF8DE1C4385958D224703B943CE_12</vt:lpwstr>
  </property>
  <property fmtid="{D5CDD505-2E9C-101B-9397-08002B2CF9AE}" pid="3" name="KSOProductBuildVer">
    <vt:lpwstr>1033-12.2.0.20326</vt:lpwstr>
  </property>
</Properties>
</file>